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olenis-my.sharepoint.com/personal/wbastostavares_solenis_com/Documents/05. Projetos/Projeto Solicitação de maquina/Solicitações de maquina de lavar louças/"/>
    </mc:Choice>
  </mc:AlternateContent>
  <xr:revisionPtr revIDLastSave="7" documentId="11_6C2BAE89FD391338F9D4530B777F1161EE5BFB75" xr6:coauthVersionLast="47" xr6:coauthVersionMax="47" xr10:uidLastSave="{712100EC-62ED-45C4-8729-47D1702461FD}"/>
  <bookViews>
    <workbookView xWindow="-108" yWindow="-108" windowWidth="23256" windowHeight="12456" tabRatio="500" xr2:uid="{00000000-000D-0000-FFFF-FFFF00000000}"/>
  </bookViews>
  <sheets>
    <sheet name="Histórico de Movimentações" sheetId="1" r:id="rId1"/>
    <sheet name="Resumo por Status" sheetId="2" r:id="rId2"/>
    <sheet name="Por Fornecedor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3" l="1"/>
  <c r="C5" i="3"/>
  <c r="C4" i="3"/>
  <c r="B12" i="2"/>
  <c r="C11" i="2"/>
  <c r="C10" i="2"/>
  <c r="C9" i="2"/>
  <c r="C8" i="2"/>
  <c r="C7" i="2"/>
  <c r="C6" i="2"/>
  <c r="C5" i="2"/>
  <c r="C4" i="2"/>
  <c r="F25" i="1"/>
</calcChain>
</file>

<file path=xl/sharedStrings.xml><?xml version="1.0" encoding="utf-8"?>
<sst xmlns="http://schemas.openxmlformats.org/spreadsheetml/2006/main" count="253" uniqueCount="158">
  <si>
    <t>WORKRAIL — Histórico de Movimentações de Máquinas de Lavar Louças</t>
  </si>
  <si>
    <t>Diversey Brasil / Solenis · Sistema WORKRAIL v2.1 · Exportado em março de 2026</t>
  </si>
  <si>
    <t>Nº Pedido</t>
  </si>
  <si>
    <t>Cliente</t>
  </si>
  <si>
    <t>Ship To</t>
  </si>
  <si>
    <t>Modelo da Máquina</t>
  </si>
  <si>
    <t>Tipo</t>
  </si>
  <si>
    <t>Status</t>
  </si>
  <si>
    <t>Representante</t>
  </si>
  <si>
    <t>Data Abertura</t>
  </si>
  <si>
    <t>Data Conclusão</t>
  </si>
  <si>
    <t>Fornecedor</t>
  </si>
  <si>
    <t>Observações</t>
  </si>
  <si>
    <t>WR-2025-0831</t>
  </si>
  <si>
    <t>Colégio São Paulo</t>
  </si>
  <si>
    <t>BZ-001205</t>
  </si>
  <si>
    <t>Hobart AMXT</t>
  </si>
  <si>
    <t>Instalação</t>
  </si>
  <si>
    <t>Concluído</t>
  </si>
  <si>
    <t>M. Silva</t>
  </si>
  <si>
    <t>05/01/2025</t>
  </si>
  <si>
    <t>15/01/2025</t>
  </si>
  <si>
    <t>Hobart Brasil</t>
  </si>
  <si>
    <t>Instalação realizada sem intercorrências.</t>
  </si>
  <si>
    <t>WR-2025-0832</t>
  </si>
  <si>
    <t>Hospital Santa Cruz</t>
  </si>
  <si>
    <t>BZ-001318</t>
  </si>
  <si>
    <t>Hobart FX</t>
  </si>
  <si>
    <t>Em Trânsito</t>
  </si>
  <si>
    <t>W. Bastos</t>
  </si>
  <si>
    <t>03/06/2025</t>
  </si>
  <si>
    <t>Máquina em trânsito. Entrega prevista 20/06.</t>
  </si>
  <si>
    <t>WR-2025-0833</t>
  </si>
  <si>
    <t>Rest. Sabor Mineiro</t>
  </si>
  <si>
    <t>BZ-001482</t>
  </si>
  <si>
    <t>Hobart AM15</t>
  </si>
  <si>
    <t>Em Instalação</t>
  </si>
  <si>
    <t>12/06/2025</t>
  </si>
  <si>
    <t>EBST</t>
  </si>
  <si>
    <t>Técnico agendado para 19/06.</t>
  </si>
  <si>
    <t>WR-2025-0834</t>
  </si>
  <si>
    <t>Buffet Estrela</t>
  </si>
  <si>
    <t>BZ-001554</t>
  </si>
  <si>
    <t>Fagor AD-48C</t>
  </si>
  <si>
    <t>Ag. Aprovação</t>
  </si>
  <si>
    <t>R. Costa</t>
  </si>
  <si>
    <t>05/06/2025</t>
  </si>
  <si>
    <t>Aguardando análise do Gestor há 2 dias.</t>
  </si>
  <si>
    <t>WR-2025-0835</t>
  </si>
  <si>
    <t>Hotel Horizonte</t>
  </si>
  <si>
    <t>BZ-001601</t>
  </si>
  <si>
    <t>Jackson CREW</t>
  </si>
  <si>
    <t>Aprovado</t>
  </si>
  <si>
    <t>07/06/2025</t>
  </si>
  <si>
    <t>Aprovado. Aguardando acionamento do fornecedor.</t>
  </si>
  <si>
    <t>WR-2025-0836</t>
  </si>
  <si>
    <t>Refeitório SABESP</t>
  </si>
  <si>
    <t>BZ-001723</t>
  </si>
  <si>
    <t>J. Souza</t>
  </si>
  <si>
    <t>08/05/2025</t>
  </si>
  <si>
    <t>20/05/2025</t>
  </si>
  <si>
    <t>Concluído. Relatório assinado.</t>
  </si>
  <si>
    <t>WR-2025-0837</t>
  </si>
  <si>
    <t>Colégio Beta</t>
  </si>
  <si>
    <t>BZ-001844</t>
  </si>
  <si>
    <t>Reprovado</t>
  </si>
  <si>
    <t>09/06/2025</t>
  </si>
  <si>
    <t>Gestor rejeitou. Revisar modelo e proposta.</t>
  </si>
  <si>
    <t>WR-2025-0838</t>
  </si>
  <si>
    <t>Clínica Vida</t>
  </si>
  <si>
    <t>BZ-001901</t>
  </si>
  <si>
    <t>Com Fornecedor</t>
  </si>
  <si>
    <t>10/06/2025</t>
  </si>
  <si>
    <t>Pedido enviado. Previsão de entrega 18/06.</t>
  </si>
  <si>
    <t>WR-2025-0839</t>
  </si>
  <si>
    <t>Arena Sports</t>
  </si>
  <si>
    <t>BZ-002012</t>
  </si>
  <si>
    <t>01/04/2025</t>
  </si>
  <si>
    <t>14/04/2025</t>
  </si>
  <si>
    <t>Relatório de instalação arquivado.</t>
  </si>
  <si>
    <t>WR-2025-0840</t>
  </si>
  <si>
    <t>Indústria ABC</t>
  </si>
  <si>
    <t>BZ-002134</t>
  </si>
  <si>
    <t>Hobart CLPS50</t>
  </si>
  <si>
    <t>Em Análise</t>
  </si>
  <si>
    <t>13/06/2025</t>
  </si>
  <si>
    <t>Nova solicitação. Gestor ainda não analisou.</t>
  </si>
  <si>
    <t>WR-2025-0821</t>
  </si>
  <si>
    <t>Empresa XYZ Ltda.</t>
  </si>
  <si>
    <t>BZ-000945</t>
  </si>
  <si>
    <t>10/02/2025</t>
  </si>
  <si>
    <t>25/02/2025</t>
  </si>
  <si>
    <t>Concluído. Cliente satisfeito.</t>
  </si>
  <si>
    <t>WR-2025-0822</t>
  </si>
  <si>
    <t>Unidade Escolar Estadual</t>
  </si>
  <si>
    <t>BZ-000982</t>
  </si>
  <si>
    <t>14/02/2025</t>
  </si>
  <si>
    <t>01/03/2025</t>
  </si>
  <si>
    <t>Treinamento de operador realizado.</t>
  </si>
  <si>
    <t>WR-2025-0823</t>
  </si>
  <si>
    <t>Centro de Convenções Sol</t>
  </si>
  <si>
    <t>BZ-001010</t>
  </si>
  <si>
    <t>03/03/2025</t>
  </si>
  <si>
    <t>17/03/2025</t>
  </si>
  <si>
    <t>Mesa incluída na instalação.</t>
  </si>
  <si>
    <t>WR-2025-0824</t>
  </si>
  <si>
    <t>Restaurante Bom Sabor</t>
  </si>
  <si>
    <t>BZ-001087</t>
  </si>
  <si>
    <t>20/03/2025</t>
  </si>
  <si>
    <t>04/04/2025</t>
  </si>
  <si>
    <t>Dosadores calibrados pelo técnico.</t>
  </si>
  <si>
    <t>WR-2025-0825</t>
  </si>
  <si>
    <t>Hospital Regional Norte</t>
  </si>
  <si>
    <t>BZ-001143</t>
  </si>
  <si>
    <t>16/04/2025</t>
  </si>
  <si>
    <t>Instalação em cozinha industrial adaptada.</t>
  </si>
  <si>
    <t>WR-2025-0826</t>
  </si>
  <si>
    <t>Creche Municipal Jardim</t>
  </si>
  <si>
    <t>BZ-001188</t>
  </si>
  <si>
    <t>15/04/2025</t>
  </si>
  <si>
    <t>29/04/2025</t>
  </si>
  <si>
    <t>Máquina compacta adequada ao espaço.</t>
  </si>
  <si>
    <t>WR-2025-0827</t>
  </si>
  <si>
    <t>Refeitório Petrobras</t>
  </si>
  <si>
    <t>BZ-001247</t>
  </si>
  <si>
    <t>01/05/2025</t>
  </si>
  <si>
    <t>18/05/2025</t>
  </si>
  <si>
    <t>Alta capacidade. 2 operadores treinados.</t>
  </si>
  <si>
    <t>WR-2025-0828</t>
  </si>
  <si>
    <t>Buffet Gran Gala</t>
  </si>
  <si>
    <t>BZ-001310</t>
  </si>
  <si>
    <t>Desinstalação</t>
  </si>
  <si>
    <t>10/05/2025</t>
  </si>
  <si>
    <t>22/05/2025</t>
  </si>
  <si>
    <t>Máquina recolhida. Contrato encerrado.</t>
  </si>
  <si>
    <t>WR-2025-0829</t>
  </si>
  <si>
    <t>Clínica São Marcos</t>
  </si>
  <si>
    <t>BZ-001388</t>
  </si>
  <si>
    <t>Sucesso. Relatório final arquivado.</t>
  </si>
  <si>
    <t>WR-2025-0830</t>
  </si>
  <si>
    <t>Escola SENAI Campinas</t>
  </si>
  <si>
    <t>BZ-001421</t>
  </si>
  <si>
    <t>28/05/2025</t>
  </si>
  <si>
    <t>11/06/2025</t>
  </si>
  <si>
    <t>Instalação no laboratório de gastronomia.</t>
  </si>
  <si>
    <t>Total de registros: 20</t>
  </si>
  <si>
    <t>WORKRAIL — Resumo de Solicitações por Status</t>
  </si>
  <si>
    <t>Qtd. Solicitações</t>
  </si>
  <si>
    <t>% do Total</t>
  </si>
  <si>
    <t>Tendência</t>
  </si>
  <si>
    <t>▲ Regular</t>
  </si>
  <si>
    <t>→ Normal</t>
  </si>
  <si>
    <t>▼ Atenção</t>
  </si>
  <si>
    <t>▼ Revisar</t>
  </si>
  <si>
    <t>TOTAL</t>
  </si>
  <si>
    <t>WORKRAIL — Distribuição por Fornecedor</t>
  </si>
  <si>
    <t>Qtd. Pedidos</t>
  </si>
  <si>
    <t>Não definido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</si>
</sst>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9"/>
      <color rgb="FF78909C"/>
      <name val="Arial"/>
      <charset val="1"/>
    </font>
    <font>
      <b/>
      <sz val="9"/>
      <color rgb="FFFFFFFF"/>
      <name val="Arial"/>
      <charset val="1"/>
    </font>
    <font>
      <b/>
      <sz val="9"/>
      <color rgb="FF075A60"/>
      <name val="Arial"/>
      <charset val="1"/>
    </font>
    <font>
      <sz val="9"/>
      <color rgb="FF1A2B3C"/>
      <name val="Arial"/>
      <charset val="1"/>
    </font>
    <font>
      <sz val="9"/>
      <color rgb="FF1565C0"/>
      <name val="Arial"/>
      <charset val="1"/>
    </font>
    <font>
      <b/>
      <sz val="9"/>
      <color rgb="FF2E7D32"/>
      <name val="Arial"/>
      <charset val="1"/>
    </font>
    <font>
      <b/>
      <sz val="9"/>
      <color rgb="FF1565C0"/>
      <name val="Arial"/>
      <charset val="1"/>
    </font>
    <font>
      <b/>
      <sz val="9"/>
      <color rgb="FF880E4F"/>
      <name val="Arial"/>
      <charset val="1"/>
    </font>
    <font>
      <b/>
      <sz val="9"/>
      <color rgb="FFE65100"/>
      <name val="Arial"/>
      <charset val="1"/>
    </font>
    <font>
      <b/>
      <sz val="9"/>
      <color rgb="FFC62828"/>
      <name val="Arial"/>
      <charset val="1"/>
    </font>
    <font>
      <b/>
      <sz val="9"/>
      <color rgb="FF4527A0"/>
      <name val="Arial"/>
      <charset val="1"/>
    </font>
    <font>
      <sz val="9"/>
      <color rgb="FFE65100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2E7D32"/>
      <name val="Arial"/>
      <charset val="1"/>
    </font>
    <font>
      <sz val="10"/>
      <name val="Arial"/>
      <charset val="1"/>
    </font>
    <font>
      <sz val="10"/>
      <color rgb="FF2E7D32"/>
      <name val="Arial"/>
      <charset val="1"/>
    </font>
    <font>
      <b/>
      <sz val="10"/>
      <color rgb="FF1565C0"/>
      <name val="Arial"/>
      <charset val="1"/>
    </font>
    <font>
      <sz val="10"/>
      <color rgb="FF607D8B"/>
      <name val="Arial"/>
      <charset val="1"/>
    </font>
    <font>
      <b/>
      <sz val="10"/>
      <color rgb="FF880E4F"/>
      <name val="Arial"/>
      <charset val="1"/>
    </font>
    <font>
      <b/>
      <sz val="10"/>
      <color rgb="FFE65100"/>
      <name val="Arial"/>
      <charset val="1"/>
    </font>
    <font>
      <sz val="10"/>
      <color rgb="FFC62828"/>
      <name val="Arial"/>
      <charset val="1"/>
    </font>
    <font>
      <b/>
      <sz val="10"/>
      <color rgb="FF4527A0"/>
      <name val="Arial"/>
      <charset val="1"/>
    </font>
    <font>
      <b/>
      <sz val="10"/>
      <color rgb="FFC62828"/>
      <name val="Arial"/>
      <charset val="1"/>
    </font>
    <font>
      <b/>
      <sz val="10"/>
      <color rgb="FF075A60"/>
      <name val="Arial"/>
      <charset val="1"/>
    </font>
    <font>
      <b/>
      <sz val="10"/>
      <color rgb="FF607D8B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075A60"/>
        <bgColor rgb="FF0E7B82"/>
      </patternFill>
    </fill>
    <fill>
      <patternFill patternType="solid">
        <fgColor rgb="FFF0FAFB"/>
        <bgColor rgb="FFF4F6F8"/>
      </patternFill>
    </fill>
    <fill>
      <patternFill patternType="solid">
        <fgColor rgb="FF0E7B82"/>
        <bgColor rgb="FF008080"/>
      </patternFill>
    </fill>
    <fill>
      <patternFill patternType="solid">
        <fgColor rgb="FFE0F4F5"/>
        <bgColor rgb="FFE3F2FD"/>
      </patternFill>
    </fill>
    <fill>
      <patternFill patternType="solid">
        <fgColor rgb="FFF4F6F8"/>
        <bgColor rgb="FFF0FAFB"/>
      </patternFill>
    </fill>
    <fill>
      <patternFill patternType="solid">
        <fgColor rgb="FFE3F2FD"/>
        <bgColor rgb="FFE0F4F5"/>
      </patternFill>
    </fill>
    <fill>
      <patternFill patternType="solid">
        <fgColor rgb="FFE8F5E9"/>
        <bgColor rgb="FFECEFF1"/>
      </patternFill>
    </fill>
    <fill>
      <patternFill patternType="solid">
        <fgColor rgb="FFFFFFFF"/>
        <bgColor rgb="FFF0FAFB"/>
      </patternFill>
    </fill>
    <fill>
      <patternFill patternType="solid">
        <fgColor rgb="FFFCE4EC"/>
        <bgColor rgb="FFFFEBEE"/>
      </patternFill>
    </fill>
    <fill>
      <patternFill patternType="solid">
        <fgColor rgb="FFFFF3E0"/>
        <bgColor rgb="FFFFEBEE"/>
      </patternFill>
    </fill>
    <fill>
      <patternFill patternType="solid">
        <fgColor rgb="FFFFEBEE"/>
        <bgColor rgb="FFFCE4EC"/>
      </patternFill>
    </fill>
    <fill>
      <patternFill patternType="solid">
        <fgColor rgb="FFEDE7F6"/>
        <bgColor rgb="FFECEFF1"/>
      </patternFill>
    </fill>
    <fill>
      <patternFill patternType="solid">
        <fgColor rgb="FFECEFF1"/>
        <bgColor rgb="FFE8F5E9"/>
      </patternFill>
    </fill>
  </fills>
  <borders count="4">
    <border>
      <left/>
      <right/>
      <top/>
      <bottom/>
      <diagonal/>
    </border>
    <border>
      <left style="thin">
        <color rgb="FFCFD8DC"/>
      </left>
      <right style="thin">
        <color rgb="FFCFD8DC"/>
      </right>
      <top style="medium">
        <color rgb="FF075A60"/>
      </top>
      <bottom style="medium">
        <color rgb="FF075A60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CFD8DC"/>
      </left>
      <right/>
      <top style="thin">
        <color rgb="FFCFD8DC"/>
      </top>
      <bottom style="thin">
        <color rgb="FFCFD8DC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4" fillId="2" borderId="0" xfId="0" applyFont="1" applyFill="1" applyAlignment="1">
      <alignment horizontal="center" vertical="center"/>
    </xf>
    <xf numFmtId="0" fontId="4" fillId="5" borderId="3" xfId="0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0" fontId="9" fillId="10" borderId="2" xfId="0" applyFont="1" applyFill="1" applyBorder="1" applyAlignment="1">
      <alignment horizontal="left" vertical="center"/>
    </xf>
    <xf numFmtId="0" fontId="10" fillId="11" borderId="2" xfId="0" applyFont="1" applyFill="1" applyBorder="1" applyAlignment="1">
      <alignment horizontal="left" vertical="center"/>
    </xf>
    <xf numFmtId="0" fontId="11" fillId="12" borderId="2" xfId="0" applyFont="1" applyFill="1" applyBorder="1" applyAlignment="1">
      <alignment horizontal="left" vertical="center"/>
    </xf>
    <xf numFmtId="0" fontId="12" fillId="13" borderId="2" xfId="0" applyFont="1" applyFill="1" applyBorder="1" applyAlignment="1">
      <alignment horizontal="left" vertical="center"/>
    </xf>
    <xf numFmtId="0" fontId="13" fillId="11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15" fillId="4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left" vertical="center"/>
    </xf>
    <xf numFmtId="0" fontId="17" fillId="8" borderId="2" xfId="0" applyFont="1" applyFill="1" applyBorder="1" applyAlignment="1">
      <alignment horizontal="center" vertical="center"/>
    </xf>
    <xf numFmtId="164" fontId="17" fillId="8" borderId="2" xfId="0" applyNumberFormat="1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left" vertical="center"/>
    </xf>
    <xf numFmtId="0" fontId="17" fillId="7" borderId="2" xfId="0" applyFont="1" applyFill="1" applyBorder="1" applyAlignment="1">
      <alignment horizontal="center" vertical="center"/>
    </xf>
    <xf numFmtId="164" fontId="17" fillId="7" borderId="2" xfId="0" applyNumberFormat="1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21" fillId="10" borderId="2" xfId="0" applyFont="1" applyFill="1" applyBorder="1" applyAlignment="1">
      <alignment horizontal="left" vertical="center"/>
    </xf>
    <xf numFmtId="0" fontId="17" fillId="10" borderId="2" xfId="0" applyFont="1" applyFill="1" applyBorder="1" applyAlignment="1">
      <alignment horizontal="center" vertical="center"/>
    </xf>
    <xf numFmtId="164" fontId="17" fillId="10" borderId="2" xfId="0" applyNumberFormat="1" applyFont="1" applyFill="1" applyBorder="1" applyAlignment="1">
      <alignment horizontal="center" vertical="center"/>
    </xf>
    <xf numFmtId="0" fontId="22" fillId="11" borderId="2" xfId="0" applyFont="1" applyFill="1" applyBorder="1" applyAlignment="1">
      <alignment horizontal="left" vertical="center"/>
    </xf>
    <xf numFmtId="0" fontId="17" fillId="11" borderId="2" xfId="0" applyFont="1" applyFill="1" applyBorder="1" applyAlignment="1">
      <alignment horizontal="center" vertical="center"/>
    </xf>
    <xf numFmtId="164" fontId="17" fillId="11" borderId="2" xfId="0" applyNumberFormat="1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horizontal="left" vertical="center"/>
    </xf>
    <xf numFmtId="0" fontId="17" fillId="13" borderId="2" xfId="0" applyFont="1" applyFill="1" applyBorder="1" applyAlignment="1">
      <alignment horizontal="center" vertical="center"/>
    </xf>
    <xf numFmtId="164" fontId="17" fillId="13" borderId="2" xfId="0" applyNumberFormat="1" applyFont="1" applyFill="1" applyBorder="1" applyAlignment="1">
      <alignment horizontal="center" vertical="center"/>
    </xf>
    <xf numFmtId="0" fontId="25" fillId="12" borderId="2" xfId="0" applyFont="1" applyFill="1" applyBorder="1" applyAlignment="1">
      <alignment horizontal="left" vertical="center"/>
    </xf>
    <xf numFmtId="0" fontId="17" fillId="12" borderId="2" xfId="0" applyFont="1" applyFill="1" applyBorder="1" applyAlignment="1">
      <alignment horizontal="center" vertical="center"/>
    </xf>
    <xf numFmtId="164" fontId="17" fillId="12" borderId="2" xfId="0" applyNumberFormat="1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left" vertical="center"/>
    </xf>
    <xf numFmtId="0" fontId="26" fillId="5" borderId="2" xfId="0" applyFont="1" applyFill="1" applyBorder="1" applyAlignment="1">
      <alignment horizontal="center" vertical="center"/>
    </xf>
    <xf numFmtId="0" fontId="27" fillId="14" borderId="2" xfId="0" applyFont="1" applyFill="1" applyBorder="1" applyAlignment="1">
      <alignment horizontal="left" vertical="center"/>
    </xf>
    <xf numFmtId="0" fontId="17" fillId="14" borderId="2" xfId="0" applyFont="1" applyFill="1" applyBorder="1" applyAlignment="1">
      <alignment horizontal="center" vertical="center"/>
    </xf>
    <xf numFmtId="164" fontId="17" fillId="14" borderId="2" xfId="0" applyNumberFormat="1" applyFont="1" applyFill="1" applyBorder="1" applyAlignment="1">
      <alignment horizontal="center" vertical="center"/>
    </xf>
    <xf numFmtId="0" fontId="0" fillId="0" borderId="0" xfId="0" applyAlignment="1"/>
    <xf numFmtId="0" fontId="0" fillId="5" borderId="2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80E4F"/>
      <rgbColor rgb="FF0E7B82"/>
      <rgbColor rgb="FFEDE7F6"/>
      <rgbColor rgb="FF78909C"/>
      <rgbColor rgb="FF9999FF"/>
      <rgbColor rgb="FF993366"/>
      <rgbColor rgb="FFFFF3E0"/>
      <rgbColor rgb="FFE0F4F5"/>
      <rgbColor rgb="FF660066"/>
      <rgbColor rgb="FFFF8080"/>
      <rgbColor rgb="FF1565C0"/>
      <rgbColor rgb="FFCF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EBEE"/>
      <rgbColor rgb="FFECEFF1"/>
      <rgbColor rgb="FFF4F6F8"/>
      <rgbColor rgb="FFF0FAFB"/>
      <rgbColor rgb="FFFCE4EC"/>
      <rgbColor rgb="FF3366FF"/>
      <rgbColor rgb="FF33CCCC"/>
      <rgbColor rgb="FF99CC00"/>
      <rgbColor rgb="FFFFCC00"/>
      <rgbColor rgb="FFFF9900"/>
      <rgbColor rgb="FFE65100"/>
      <rgbColor rgb="FF607D8B"/>
      <rgbColor rgb="FF969696"/>
      <rgbColor rgb="FF075A60"/>
      <rgbColor rgb="FF2E7D32"/>
      <rgbColor rgb="FF003300"/>
      <rgbColor rgb="FF333300"/>
      <rgbColor rgb="FFC62828"/>
      <rgbColor rgb="FF993366"/>
      <rgbColor rgb="FF4527A0"/>
      <rgbColor rgb="FF1A2B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pane ySplit="4" topLeftCell="A5" activePane="bottomLeft" state="frozen"/>
      <selection pane="bottomLeft" activeCell="B9" sqref="B9"/>
    </sheetView>
  </sheetViews>
  <sheetFormatPr defaultColWidth="8.6640625" defaultRowHeight="14.4" x14ac:dyDescent="0.3"/>
  <cols>
    <col min="1" max="1" width="14.77734375" style="48" customWidth="1"/>
    <col min="2" max="2" width="22.21875" style="48" customWidth="1"/>
    <col min="3" max="3" width="8.6640625" style="48" bestFit="1" customWidth="1"/>
    <col min="4" max="4" width="16.21875" style="48" bestFit="1" customWidth="1"/>
    <col min="5" max="5" width="11.109375" style="48" bestFit="1" customWidth="1"/>
    <col min="6" max="6" width="14.109375" style="48" bestFit="1" customWidth="1"/>
    <col min="7" max="7" width="12.5546875" style="48" bestFit="1" customWidth="1"/>
    <col min="8" max="8" width="11.5546875" style="48" bestFit="1" customWidth="1"/>
    <col min="9" max="9" width="13.21875" style="48" bestFit="1" customWidth="1"/>
    <col min="10" max="10" width="10.109375" style="48" bestFit="1" customWidth="1"/>
    <col min="11" max="11" width="38.5546875" style="48" bestFit="1" customWidth="1"/>
    <col min="12" max="16384" width="8.6640625" style="48"/>
  </cols>
  <sheetData>
    <row r="1" spans="1:11" ht="17.399999999999999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 x14ac:dyDescent="0.3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</row>
    <row r="5" spans="1:11" x14ac:dyDescent="0.3">
      <c r="A5" s="6" t="s">
        <v>13</v>
      </c>
      <c r="B5" s="7" t="s">
        <v>14</v>
      </c>
      <c r="C5" s="8" t="s">
        <v>15</v>
      </c>
      <c r="D5" s="7" t="s">
        <v>16</v>
      </c>
      <c r="E5" s="9" t="s">
        <v>17</v>
      </c>
      <c r="F5" s="10" t="s">
        <v>18</v>
      </c>
      <c r="G5" s="7" t="s">
        <v>19</v>
      </c>
      <c r="H5" s="8" t="s">
        <v>20</v>
      </c>
      <c r="I5" s="8" t="s">
        <v>21</v>
      </c>
      <c r="J5" s="7" t="s">
        <v>22</v>
      </c>
      <c r="K5" s="7" t="s">
        <v>23</v>
      </c>
    </row>
    <row r="6" spans="1:11" x14ac:dyDescent="0.3">
      <c r="A6" s="6" t="s">
        <v>24</v>
      </c>
      <c r="B6" s="11" t="s">
        <v>25</v>
      </c>
      <c r="C6" s="12" t="s">
        <v>26</v>
      </c>
      <c r="D6" s="11" t="s">
        <v>27</v>
      </c>
      <c r="E6" s="9" t="s">
        <v>17</v>
      </c>
      <c r="F6" s="13" t="s">
        <v>28</v>
      </c>
      <c r="G6" s="11" t="s">
        <v>29</v>
      </c>
      <c r="H6" s="12" t="s">
        <v>30</v>
      </c>
      <c r="I6" s="12"/>
      <c r="J6" s="11" t="s">
        <v>22</v>
      </c>
      <c r="K6" s="11" t="s">
        <v>31</v>
      </c>
    </row>
    <row r="7" spans="1:11" x14ac:dyDescent="0.3">
      <c r="A7" s="6" t="s">
        <v>32</v>
      </c>
      <c r="B7" s="7" t="s">
        <v>33</v>
      </c>
      <c r="C7" s="8" t="s">
        <v>34</v>
      </c>
      <c r="D7" s="7" t="s">
        <v>35</v>
      </c>
      <c r="E7" s="9" t="s">
        <v>17</v>
      </c>
      <c r="F7" s="14" t="s">
        <v>36</v>
      </c>
      <c r="G7" s="7" t="s">
        <v>29</v>
      </c>
      <c r="H7" s="8" t="s">
        <v>37</v>
      </c>
      <c r="I7" s="8"/>
      <c r="J7" s="7" t="s">
        <v>38</v>
      </c>
      <c r="K7" s="7" t="s">
        <v>39</v>
      </c>
    </row>
    <row r="8" spans="1:11" x14ac:dyDescent="0.3">
      <c r="A8" s="6" t="s">
        <v>40</v>
      </c>
      <c r="B8" s="11" t="s">
        <v>41</v>
      </c>
      <c r="C8" s="12" t="s">
        <v>42</v>
      </c>
      <c r="D8" s="11" t="s">
        <v>43</v>
      </c>
      <c r="E8" s="9" t="s">
        <v>17</v>
      </c>
      <c r="F8" s="15" t="s">
        <v>44</v>
      </c>
      <c r="G8" s="11" t="s">
        <v>45</v>
      </c>
      <c r="H8" s="12" t="s">
        <v>46</v>
      </c>
      <c r="I8" s="12"/>
      <c r="J8" s="11"/>
      <c r="K8" s="11" t="s">
        <v>47</v>
      </c>
    </row>
    <row r="9" spans="1:11" x14ac:dyDescent="0.3">
      <c r="A9" s="6" t="s">
        <v>48</v>
      </c>
      <c r="B9" s="7" t="s">
        <v>49</v>
      </c>
      <c r="C9" s="8" t="s">
        <v>50</v>
      </c>
      <c r="D9" s="7" t="s">
        <v>51</v>
      </c>
      <c r="E9" s="9" t="s">
        <v>17</v>
      </c>
      <c r="F9" s="10" t="s">
        <v>52</v>
      </c>
      <c r="G9" s="7" t="s">
        <v>19</v>
      </c>
      <c r="H9" s="8" t="s">
        <v>53</v>
      </c>
      <c r="I9" s="8"/>
      <c r="J9" s="7" t="s">
        <v>22</v>
      </c>
      <c r="K9" s="7" t="s">
        <v>54</v>
      </c>
    </row>
    <row r="10" spans="1:11" x14ac:dyDescent="0.3">
      <c r="A10" s="6" t="s">
        <v>55</v>
      </c>
      <c r="B10" s="11" t="s">
        <v>56</v>
      </c>
      <c r="C10" s="12" t="s">
        <v>57</v>
      </c>
      <c r="D10" s="11" t="s">
        <v>16</v>
      </c>
      <c r="E10" s="9" t="s">
        <v>17</v>
      </c>
      <c r="F10" s="10" t="s">
        <v>18</v>
      </c>
      <c r="G10" s="11" t="s">
        <v>58</v>
      </c>
      <c r="H10" s="12" t="s">
        <v>59</v>
      </c>
      <c r="I10" s="12" t="s">
        <v>60</v>
      </c>
      <c r="J10" s="11" t="s">
        <v>22</v>
      </c>
      <c r="K10" s="11" t="s">
        <v>61</v>
      </c>
    </row>
    <row r="11" spans="1:11" x14ac:dyDescent="0.3">
      <c r="A11" s="6" t="s">
        <v>62</v>
      </c>
      <c r="B11" s="7" t="s">
        <v>63</v>
      </c>
      <c r="C11" s="8" t="s">
        <v>64</v>
      </c>
      <c r="D11" s="7" t="s">
        <v>35</v>
      </c>
      <c r="E11" s="9" t="s">
        <v>17</v>
      </c>
      <c r="F11" s="16" t="s">
        <v>65</v>
      </c>
      <c r="G11" s="7" t="s">
        <v>29</v>
      </c>
      <c r="H11" s="8" t="s">
        <v>66</v>
      </c>
      <c r="I11" s="8"/>
      <c r="J11" s="7"/>
      <c r="K11" s="7" t="s">
        <v>67</v>
      </c>
    </row>
    <row r="12" spans="1:11" x14ac:dyDescent="0.3">
      <c r="A12" s="6" t="s">
        <v>68</v>
      </c>
      <c r="B12" s="11" t="s">
        <v>69</v>
      </c>
      <c r="C12" s="12" t="s">
        <v>70</v>
      </c>
      <c r="D12" s="11" t="s">
        <v>43</v>
      </c>
      <c r="E12" s="9" t="s">
        <v>17</v>
      </c>
      <c r="F12" s="17" t="s">
        <v>71</v>
      </c>
      <c r="G12" s="11" t="s">
        <v>45</v>
      </c>
      <c r="H12" s="12" t="s">
        <v>72</v>
      </c>
      <c r="I12" s="12"/>
      <c r="J12" s="11" t="s">
        <v>38</v>
      </c>
      <c r="K12" s="11" t="s">
        <v>73</v>
      </c>
    </row>
    <row r="13" spans="1:11" x14ac:dyDescent="0.3">
      <c r="A13" s="6" t="s">
        <v>74</v>
      </c>
      <c r="B13" s="7" t="s">
        <v>75</v>
      </c>
      <c r="C13" s="8" t="s">
        <v>76</v>
      </c>
      <c r="D13" s="7" t="s">
        <v>27</v>
      </c>
      <c r="E13" s="9" t="s">
        <v>17</v>
      </c>
      <c r="F13" s="10" t="s">
        <v>18</v>
      </c>
      <c r="G13" s="7" t="s">
        <v>58</v>
      </c>
      <c r="H13" s="8" t="s">
        <v>77</v>
      </c>
      <c r="I13" s="8" t="s">
        <v>78</v>
      </c>
      <c r="J13" s="7" t="s">
        <v>22</v>
      </c>
      <c r="K13" s="7" t="s">
        <v>79</v>
      </c>
    </row>
    <row r="14" spans="1:11" x14ac:dyDescent="0.3">
      <c r="A14" s="6" t="s">
        <v>80</v>
      </c>
      <c r="B14" s="11" t="s">
        <v>81</v>
      </c>
      <c r="C14" s="12" t="s">
        <v>82</v>
      </c>
      <c r="D14" s="11" t="s">
        <v>83</v>
      </c>
      <c r="E14" s="9" t="s">
        <v>17</v>
      </c>
      <c r="F14" s="13" t="s">
        <v>84</v>
      </c>
      <c r="G14" s="11" t="s">
        <v>19</v>
      </c>
      <c r="H14" s="12" t="s">
        <v>85</v>
      </c>
      <c r="I14" s="12"/>
      <c r="J14" s="11"/>
      <c r="K14" s="11" t="s">
        <v>86</v>
      </c>
    </row>
    <row r="15" spans="1:11" x14ac:dyDescent="0.3">
      <c r="A15" s="6" t="s">
        <v>87</v>
      </c>
      <c r="B15" s="7" t="s">
        <v>88</v>
      </c>
      <c r="C15" s="8" t="s">
        <v>89</v>
      </c>
      <c r="D15" s="7" t="s">
        <v>35</v>
      </c>
      <c r="E15" s="9" t="s">
        <v>17</v>
      </c>
      <c r="F15" s="10" t="s">
        <v>18</v>
      </c>
      <c r="G15" s="7" t="s">
        <v>45</v>
      </c>
      <c r="H15" s="8" t="s">
        <v>90</v>
      </c>
      <c r="I15" s="8" t="s">
        <v>91</v>
      </c>
      <c r="J15" s="7" t="s">
        <v>38</v>
      </c>
      <c r="K15" s="7" t="s">
        <v>92</v>
      </c>
    </row>
    <row r="16" spans="1:11" x14ac:dyDescent="0.3">
      <c r="A16" s="6" t="s">
        <v>93</v>
      </c>
      <c r="B16" s="11" t="s">
        <v>94</v>
      </c>
      <c r="C16" s="12" t="s">
        <v>95</v>
      </c>
      <c r="D16" s="11" t="s">
        <v>16</v>
      </c>
      <c r="E16" s="9" t="s">
        <v>17</v>
      </c>
      <c r="F16" s="10" t="s">
        <v>18</v>
      </c>
      <c r="G16" s="11" t="s">
        <v>29</v>
      </c>
      <c r="H16" s="12" t="s">
        <v>96</v>
      </c>
      <c r="I16" s="12" t="s">
        <v>97</v>
      </c>
      <c r="J16" s="11" t="s">
        <v>22</v>
      </c>
      <c r="K16" s="11" t="s">
        <v>98</v>
      </c>
    </row>
    <row r="17" spans="1:11" x14ac:dyDescent="0.3">
      <c r="A17" s="6" t="s">
        <v>99</v>
      </c>
      <c r="B17" s="7" t="s">
        <v>100</v>
      </c>
      <c r="C17" s="8" t="s">
        <v>101</v>
      </c>
      <c r="D17" s="7" t="s">
        <v>51</v>
      </c>
      <c r="E17" s="9" t="s">
        <v>17</v>
      </c>
      <c r="F17" s="10" t="s">
        <v>18</v>
      </c>
      <c r="G17" s="7" t="s">
        <v>58</v>
      </c>
      <c r="H17" s="8" t="s">
        <v>102</v>
      </c>
      <c r="I17" s="8" t="s">
        <v>103</v>
      </c>
      <c r="J17" s="7" t="s">
        <v>22</v>
      </c>
      <c r="K17" s="7" t="s">
        <v>104</v>
      </c>
    </row>
    <row r="18" spans="1:11" x14ac:dyDescent="0.3">
      <c r="A18" s="6" t="s">
        <v>105</v>
      </c>
      <c r="B18" s="11" t="s">
        <v>106</v>
      </c>
      <c r="C18" s="12" t="s">
        <v>107</v>
      </c>
      <c r="D18" s="11" t="s">
        <v>43</v>
      </c>
      <c r="E18" s="9" t="s">
        <v>17</v>
      </c>
      <c r="F18" s="10" t="s">
        <v>18</v>
      </c>
      <c r="G18" s="11" t="s">
        <v>19</v>
      </c>
      <c r="H18" s="12" t="s">
        <v>108</v>
      </c>
      <c r="I18" s="12" t="s">
        <v>109</v>
      </c>
      <c r="J18" s="11" t="s">
        <v>38</v>
      </c>
      <c r="K18" s="11" t="s">
        <v>110</v>
      </c>
    </row>
    <row r="19" spans="1:11" x14ac:dyDescent="0.3">
      <c r="A19" s="6" t="s">
        <v>111</v>
      </c>
      <c r="B19" s="7" t="s">
        <v>112</v>
      </c>
      <c r="C19" s="8" t="s">
        <v>113</v>
      </c>
      <c r="D19" s="7" t="s">
        <v>27</v>
      </c>
      <c r="E19" s="9" t="s">
        <v>17</v>
      </c>
      <c r="F19" s="10" t="s">
        <v>18</v>
      </c>
      <c r="G19" s="7" t="s">
        <v>29</v>
      </c>
      <c r="H19" s="8" t="s">
        <v>77</v>
      </c>
      <c r="I19" s="8" t="s">
        <v>114</v>
      </c>
      <c r="J19" s="7" t="s">
        <v>22</v>
      </c>
      <c r="K19" s="7" t="s">
        <v>115</v>
      </c>
    </row>
    <row r="20" spans="1:11" x14ac:dyDescent="0.3">
      <c r="A20" s="6" t="s">
        <v>116</v>
      </c>
      <c r="B20" s="11" t="s">
        <v>117</v>
      </c>
      <c r="C20" s="12" t="s">
        <v>118</v>
      </c>
      <c r="D20" s="11" t="s">
        <v>35</v>
      </c>
      <c r="E20" s="9" t="s">
        <v>17</v>
      </c>
      <c r="F20" s="10" t="s">
        <v>18</v>
      </c>
      <c r="G20" s="11" t="s">
        <v>45</v>
      </c>
      <c r="H20" s="12" t="s">
        <v>119</v>
      </c>
      <c r="I20" s="12" t="s">
        <v>120</v>
      </c>
      <c r="J20" s="11" t="s">
        <v>38</v>
      </c>
      <c r="K20" s="11" t="s">
        <v>121</v>
      </c>
    </row>
    <row r="21" spans="1:11" x14ac:dyDescent="0.3">
      <c r="A21" s="6" t="s">
        <v>122</v>
      </c>
      <c r="B21" s="7" t="s">
        <v>123</v>
      </c>
      <c r="C21" s="8" t="s">
        <v>124</v>
      </c>
      <c r="D21" s="7" t="s">
        <v>83</v>
      </c>
      <c r="E21" s="9" t="s">
        <v>17</v>
      </c>
      <c r="F21" s="10" t="s">
        <v>18</v>
      </c>
      <c r="G21" s="7" t="s">
        <v>58</v>
      </c>
      <c r="H21" s="8" t="s">
        <v>125</v>
      </c>
      <c r="I21" s="8" t="s">
        <v>126</v>
      </c>
      <c r="J21" s="7" t="s">
        <v>22</v>
      </c>
      <c r="K21" s="7" t="s">
        <v>127</v>
      </c>
    </row>
    <row r="22" spans="1:11" x14ac:dyDescent="0.3">
      <c r="A22" s="6" t="s">
        <v>128</v>
      </c>
      <c r="B22" s="11" t="s">
        <v>129</v>
      </c>
      <c r="C22" s="12" t="s">
        <v>130</v>
      </c>
      <c r="D22" s="11" t="s">
        <v>16</v>
      </c>
      <c r="E22" s="18" t="s">
        <v>131</v>
      </c>
      <c r="F22" s="10" t="s">
        <v>18</v>
      </c>
      <c r="G22" s="11" t="s">
        <v>19</v>
      </c>
      <c r="H22" s="12" t="s">
        <v>132</v>
      </c>
      <c r="I22" s="12" t="s">
        <v>133</v>
      </c>
      <c r="J22" s="11" t="s">
        <v>22</v>
      </c>
      <c r="K22" s="11" t="s">
        <v>134</v>
      </c>
    </row>
    <row r="23" spans="1:11" x14ac:dyDescent="0.3">
      <c r="A23" s="6" t="s">
        <v>135</v>
      </c>
      <c r="B23" s="7" t="s">
        <v>136</v>
      </c>
      <c r="C23" s="8" t="s">
        <v>137</v>
      </c>
      <c r="D23" s="7" t="s">
        <v>43</v>
      </c>
      <c r="E23" s="9" t="s">
        <v>17</v>
      </c>
      <c r="F23" s="10" t="s">
        <v>18</v>
      </c>
      <c r="G23" s="7" t="s">
        <v>29</v>
      </c>
      <c r="H23" s="8" t="s">
        <v>60</v>
      </c>
      <c r="I23" s="8" t="s">
        <v>30</v>
      </c>
      <c r="J23" s="7" t="s">
        <v>38</v>
      </c>
      <c r="K23" s="7" t="s">
        <v>138</v>
      </c>
    </row>
    <row r="24" spans="1:11" x14ac:dyDescent="0.3">
      <c r="A24" s="6" t="s">
        <v>139</v>
      </c>
      <c r="B24" s="11" t="s">
        <v>140</v>
      </c>
      <c r="C24" s="12" t="s">
        <v>141</v>
      </c>
      <c r="D24" s="11" t="s">
        <v>51</v>
      </c>
      <c r="E24" s="9" t="s">
        <v>17</v>
      </c>
      <c r="F24" s="10" t="s">
        <v>18</v>
      </c>
      <c r="G24" s="11" t="s">
        <v>45</v>
      </c>
      <c r="H24" s="12" t="s">
        <v>142</v>
      </c>
      <c r="I24" s="12" t="s">
        <v>143</v>
      </c>
      <c r="J24" s="11" t="s">
        <v>22</v>
      </c>
      <c r="K24" s="11" t="s">
        <v>144</v>
      </c>
    </row>
    <row r="25" spans="1:11" x14ac:dyDescent="0.3">
      <c r="A25" s="2" t="s">
        <v>145</v>
      </c>
      <c r="B25" s="2"/>
      <c r="C25" s="2"/>
      <c r="D25" s="2"/>
      <c r="E25" s="2"/>
      <c r="F25" s="19">
        <f>COUNTIF(F5:F24,"Concluído")</f>
        <v>13</v>
      </c>
      <c r="G25" s="49"/>
      <c r="H25" s="49"/>
      <c r="I25" s="49"/>
      <c r="J25" s="49"/>
      <c r="K25" s="49"/>
    </row>
  </sheetData>
  <mergeCells count="3">
    <mergeCell ref="A1:K1"/>
    <mergeCell ref="A2:K2"/>
    <mergeCell ref="A25:E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zoomScaleNormal="100" workbookViewId="0">
      <selection sqref="A1:D1"/>
    </sheetView>
  </sheetViews>
  <sheetFormatPr defaultColWidth="8.6640625" defaultRowHeight="15" customHeight="1" x14ac:dyDescent="0.3"/>
  <cols>
    <col min="1" max="1" width="22" customWidth="1"/>
    <col min="2" max="2" width="20" customWidth="1"/>
    <col min="3" max="4" width="16" customWidth="1"/>
  </cols>
  <sheetData>
    <row r="1" spans="1:4" ht="30" customHeight="1" x14ac:dyDescent="0.3">
      <c r="A1" s="1" t="s">
        <v>146</v>
      </c>
      <c r="B1" s="1"/>
      <c r="C1" s="1"/>
      <c r="D1" s="1"/>
    </row>
    <row r="2" spans="1:4" ht="7.5" customHeight="1" x14ac:dyDescent="0.3"/>
    <row r="3" spans="1:4" ht="19.5" customHeight="1" x14ac:dyDescent="0.3">
      <c r="A3" s="21" t="s">
        <v>7</v>
      </c>
      <c r="B3" s="21" t="s">
        <v>147</v>
      </c>
      <c r="C3" s="21" t="s">
        <v>148</v>
      </c>
      <c r="D3" s="21" t="s">
        <v>149</v>
      </c>
    </row>
    <row r="4" spans="1:4" ht="18" customHeight="1" x14ac:dyDescent="0.3">
      <c r="A4" s="22" t="s">
        <v>18</v>
      </c>
      <c r="B4" s="23">
        <v>12</v>
      </c>
      <c r="C4" s="24">
        <f>B4/SUM(B4:B11)</f>
        <v>0.6</v>
      </c>
      <c r="D4" s="25" t="s">
        <v>150</v>
      </c>
    </row>
    <row r="5" spans="1:4" ht="18" customHeight="1" x14ac:dyDescent="0.3">
      <c r="A5" s="26" t="s">
        <v>84</v>
      </c>
      <c r="B5" s="27">
        <v>2</v>
      </c>
      <c r="C5" s="28">
        <f>B5/SUM(B4:B11)</f>
        <v>0.1</v>
      </c>
      <c r="D5" s="29" t="s">
        <v>151</v>
      </c>
    </row>
    <row r="6" spans="1:4" ht="18" customHeight="1" x14ac:dyDescent="0.3">
      <c r="A6" s="30" t="s">
        <v>36</v>
      </c>
      <c r="B6" s="31">
        <v>1</v>
      </c>
      <c r="C6" s="32">
        <f>B6/SUM(B4:B11)</f>
        <v>0.05</v>
      </c>
      <c r="D6" s="29" t="s">
        <v>151</v>
      </c>
    </row>
    <row r="7" spans="1:4" ht="18" customHeight="1" x14ac:dyDescent="0.3">
      <c r="A7" s="26" t="s">
        <v>28</v>
      </c>
      <c r="B7" s="27">
        <v>1</v>
      </c>
      <c r="C7" s="28">
        <f>B7/SUM(B4:B11)</f>
        <v>0.05</v>
      </c>
      <c r="D7" s="29" t="s">
        <v>151</v>
      </c>
    </row>
    <row r="8" spans="1:4" ht="18" customHeight="1" x14ac:dyDescent="0.3">
      <c r="A8" s="33" t="s">
        <v>44</v>
      </c>
      <c r="B8" s="34">
        <v>1</v>
      </c>
      <c r="C8" s="35">
        <f>B8/SUM(B4:B11)</f>
        <v>0.05</v>
      </c>
      <c r="D8" s="36" t="s">
        <v>152</v>
      </c>
    </row>
    <row r="9" spans="1:4" ht="18" customHeight="1" x14ac:dyDescent="0.3">
      <c r="A9" s="37" t="s">
        <v>71</v>
      </c>
      <c r="B9" s="38">
        <v>1</v>
      </c>
      <c r="C9" s="39">
        <f>B9/SUM(B4:B11)</f>
        <v>0.05</v>
      </c>
      <c r="D9" s="29" t="s">
        <v>151</v>
      </c>
    </row>
    <row r="10" spans="1:4" ht="18" customHeight="1" x14ac:dyDescent="0.3">
      <c r="A10" s="22" t="s">
        <v>52</v>
      </c>
      <c r="B10" s="23">
        <v>1</v>
      </c>
      <c r="C10" s="24">
        <f>B10/SUM(B4:B11)</f>
        <v>0.05</v>
      </c>
      <c r="D10" s="29" t="s">
        <v>151</v>
      </c>
    </row>
    <row r="11" spans="1:4" ht="18" customHeight="1" x14ac:dyDescent="0.3">
      <c r="A11" s="40" t="s">
        <v>65</v>
      </c>
      <c r="B11" s="41">
        <v>1</v>
      </c>
      <c r="C11" s="42">
        <f>B11/SUM(B4:B11)</f>
        <v>0.05</v>
      </c>
      <c r="D11" s="36" t="s">
        <v>153</v>
      </c>
    </row>
    <row r="12" spans="1:4" ht="18" customHeight="1" x14ac:dyDescent="0.3">
      <c r="A12" s="43" t="s">
        <v>154</v>
      </c>
      <c r="B12" s="44">
        <f>SUM(B4:B11)</f>
        <v>20</v>
      </c>
      <c r="C12" s="20"/>
      <c r="D12" s="20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zoomScaleNormal="100" workbookViewId="0">
      <selection sqref="A1:C1"/>
    </sheetView>
  </sheetViews>
  <sheetFormatPr defaultColWidth="8.6640625" defaultRowHeight="15" customHeight="1" x14ac:dyDescent="0.3"/>
  <cols>
    <col min="1" max="1" width="22" customWidth="1"/>
    <col min="2" max="2" width="18" customWidth="1"/>
    <col min="3" max="3" width="14" customWidth="1"/>
  </cols>
  <sheetData>
    <row r="1" spans="1:3" ht="30" customHeight="1" x14ac:dyDescent="0.3">
      <c r="A1" s="1" t="s">
        <v>155</v>
      </c>
      <c r="B1" s="1"/>
      <c r="C1" s="1"/>
    </row>
    <row r="2" spans="1:3" ht="7.5" customHeight="1" x14ac:dyDescent="0.3"/>
    <row r="3" spans="1:3" ht="19.5" customHeight="1" x14ac:dyDescent="0.3">
      <c r="A3" s="21" t="s">
        <v>11</v>
      </c>
      <c r="B3" s="21" t="s">
        <v>156</v>
      </c>
      <c r="C3" s="21" t="s">
        <v>148</v>
      </c>
    </row>
    <row r="4" spans="1:3" ht="18" customHeight="1" x14ac:dyDescent="0.3">
      <c r="A4" s="37" t="s">
        <v>22</v>
      </c>
      <c r="B4" s="38">
        <v>12</v>
      </c>
      <c r="C4" s="39">
        <f>B4/SUM(B4:B6)</f>
        <v>0.6</v>
      </c>
    </row>
    <row r="5" spans="1:3" ht="18" customHeight="1" x14ac:dyDescent="0.3">
      <c r="A5" s="26" t="s">
        <v>38</v>
      </c>
      <c r="B5" s="27">
        <v>6</v>
      </c>
      <c r="C5" s="28">
        <f>B5/SUM(B4:B6)</f>
        <v>0.3</v>
      </c>
    </row>
    <row r="6" spans="1:3" ht="18" customHeight="1" x14ac:dyDescent="0.3">
      <c r="A6" s="45" t="s">
        <v>157</v>
      </c>
      <c r="B6" s="46">
        <v>2</v>
      </c>
      <c r="C6" s="47">
        <f>B6/SUM(B4:B6)</f>
        <v>0.1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9d16294b-7040-47e1-b2e5-64d6dc7364ff}" enabled="1" method="Standard" siteId="{c84d9378-ad95-4040-9258-2ed1ae880de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Histórico de Movimentações</vt:lpstr>
      <vt:lpstr>Resumo por Status</vt:lpstr>
      <vt:lpstr>Por Fornecedor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Welington Bastos Tavares</cp:lastModifiedBy>
  <cp:revision>0</cp:revision>
  <dcterms:created xsi:type="dcterms:W3CDTF">2026-03-23T04:34:35Z</dcterms:created>
  <dcterms:modified xsi:type="dcterms:W3CDTF">2026-03-23T04:45:31Z</dcterms:modified>
  <dc:language>en-US</dc:language>
</cp:coreProperties>
</file>